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aved\Downloads\"/>
    </mc:Choice>
  </mc:AlternateContent>
  <xr:revisionPtr revIDLastSave="0" documentId="13_ncr:1_{9E62CA50-F550-4857-B3C5-0182B41ACF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  <sheet name="Product_Master" sheetId="2" r:id="rId2"/>
    <sheet name="Monthly Target" sheetId="3" r:id="rId3"/>
  </sheets>
  <definedNames>
    <definedName name="_xlnm._FilterDatabase" localSheetId="0" hidden="1">Sales_Data!$C$2:$C$11</definedName>
    <definedName name="_xlnm.Extract" localSheetId="0">Sales_Data!$I$2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2" i="1"/>
  <c r="E12" i="1"/>
  <c r="B16" i="1"/>
  <c r="D16" i="1" s="1"/>
  <c r="A7" i="3" l="1" a="1"/>
  <c r="A7" i="3" s="1"/>
  <c r="G12" i="1"/>
  <c r="G3" i="1"/>
  <c r="G4" i="1"/>
  <c r="G5" i="1"/>
  <c r="G6" i="1"/>
  <c r="G7" i="1"/>
  <c r="G8" i="1"/>
  <c r="G9" i="1"/>
  <c r="G10" i="1"/>
  <c r="G11" i="1"/>
  <c r="G2" i="1"/>
  <c r="F12" i="1"/>
  <c r="I3" i="2" a="1"/>
  <c r="I3" i="2"/>
  <c r="I4" i="2" a="1"/>
  <c r="I4" i="2"/>
  <c r="I5" i="2" a="1"/>
  <c r="I5" i="2"/>
  <c r="I6" i="2" a="1"/>
  <c r="I6" i="2"/>
  <c r="I2" i="2" a="1"/>
  <c r="I2" i="2" s="1"/>
  <c r="G3" i="2"/>
  <c r="G4" i="2"/>
  <c r="G5" i="2"/>
  <c r="G6" i="2"/>
  <c r="G2" i="2"/>
  <c r="F3" i="2"/>
  <c r="F4" i="2"/>
  <c r="F5" i="2"/>
  <c r="F6" i="2"/>
  <c r="F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<sst xmlns="http://schemas.openxmlformats.org/spreadsheetml/2006/main" count="92" uniqueCount="51">
  <si>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</si>
  <si>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</si>
  <si>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</si>
  <si>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</si>
  <si>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</si>
  <si>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</si>
  <si>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</si>
  <si>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</si>
  <si>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</si>
  <si>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</si>
  <si>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</si>
  <si>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</si>
  <si>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</si>
  <si>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</si>
  <si>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</si>
  <si>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</si>
  <si>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</si>
  <si>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</si>
  <si>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</si>
  <si>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</si>
  <si>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</si>
  <si>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</si>
  <si>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</si>
  <si>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</si>
  <si>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</si>
  <si>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</si>
  <si>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</si>
  <si>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</si>
  <si>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</si>
  <si>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</si>
  <si>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</si>
  <si>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</si>
  <si>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</si>
  <si>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</si>
  <si>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</si>
  <si>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</si>
  <si>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</si>
  <si>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</si>
  <si>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</si>
  <si>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</si>
  <si>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</si>
  <si>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</si>
  <si>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</si>
  <si>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</si>
  <si>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</si>
  <si>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</si>
  <si>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Target Sales</t>
  </si>
  <si>
    <t>Total Sale</t>
  </si>
  <si>
    <t>Total Sales Amount</t>
  </si>
  <si>
    <t>Revenu Goal 10,00,000 Remaning Goal</t>
  </si>
  <si>
    <t>Remaning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</si>
</sst>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6"/>
  <sheetViews>
    <sheetView tabSelected="1" workbookViewId="0">
      <selection activeCell="G19" sqref="G19"/>
    </sheetView>
  </sheetViews>
  <sheetFormatPr defaultColWidth="12.6640625" defaultRowHeight="15.75" customHeight="1" x14ac:dyDescent="0.25"/>
  <cols>
    <col min="1" max="1" width="11.77734375" bestFit="1" customWidth="1"/>
    <col min="2" max="2" width="18.109375" bestFit="1" customWidth="1"/>
    <col min="3" max="3" width="7.109375" bestFit="1" customWidth="1"/>
    <col min="4" max="4" width="22.109375" customWidth="1"/>
    <col min="5" max="5" width="12.77734375" bestFit="1" customWidth="1"/>
    <col min="6" max="6" width="13.109375" bestFit="1" customWidth="1"/>
    <col min="9" max="9" width="20.6640625" customWidth="1"/>
    <col min="10" max="10" width="18.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  <c r="I1" s="3" t="s">
        <v>2</v>
      </c>
      <c r="J1" s="3" t="s">
        <v>48</v>
      </c>
    </row>
    <row r="2" spans="1:15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15</v>
      </c>
      <c r="F2" s="2">
        <v>45000</v>
      </c>
      <c r="G2">
        <f>E2*F2</f>
        <v>675000</v>
      </c>
      <c r="I2" s="5" t="s">
        <v>8</v>
      </c>
      <c r="J2" s="6">
        <f>SUMIF($C$2:$C$11,$I2,$F$2:$F$11)</f>
        <v>163000</v>
      </c>
      <c r="K2" s="1"/>
      <c r="L2" s="1"/>
      <c r="M2" s="1"/>
      <c r="N2" s="1"/>
      <c r="O2" s="1"/>
    </row>
    <row r="3" spans="1:1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>
        <v>20</v>
      </c>
      <c r="F3" s="2">
        <v>60000</v>
      </c>
      <c r="G3">
        <f t="shared" ref="G3:G11" si="0">E3*F3</f>
        <v>1200000</v>
      </c>
      <c r="I3" s="5" t="s">
        <v>12</v>
      </c>
      <c r="J3" s="6">
        <f t="shared" ref="J3:J6" si="1">SUMIF($C$2:$C$11,$I3,$F$2:$F$11)</f>
        <v>137000</v>
      </c>
    </row>
    <row r="4" spans="1:15" x14ac:dyDescent="0.25">
      <c r="A4" s="2" t="s">
        <v>14</v>
      </c>
      <c r="B4" s="2" t="s">
        <v>15</v>
      </c>
      <c r="C4" s="2" t="s">
        <v>16</v>
      </c>
      <c r="D4" s="2" t="s">
        <v>17</v>
      </c>
      <c r="E4" s="2">
        <v>10</v>
      </c>
      <c r="F4" s="2">
        <v>35000</v>
      </c>
      <c r="G4">
        <f t="shared" si="0"/>
        <v>350000</v>
      </c>
      <c r="I4" s="5" t="s">
        <v>16</v>
      </c>
      <c r="J4" s="6">
        <f t="shared" si="1"/>
        <v>121000</v>
      </c>
    </row>
    <row r="5" spans="1:15" x14ac:dyDescent="0.25">
      <c r="A5" s="2" t="s">
        <v>18</v>
      </c>
      <c r="B5" s="2" t="s">
        <v>19</v>
      </c>
      <c r="C5" s="2" t="s">
        <v>20</v>
      </c>
      <c r="D5" s="2" t="s">
        <v>21</v>
      </c>
      <c r="E5" s="2">
        <v>25</v>
      </c>
      <c r="F5" s="2">
        <v>125000</v>
      </c>
      <c r="G5">
        <f t="shared" si="0"/>
        <v>3125000</v>
      </c>
      <c r="I5" s="5" t="s">
        <v>20</v>
      </c>
      <c r="J5" s="6">
        <f t="shared" si="1"/>
        <v>215000</v>
      </c>
    </row>
    <row r="6" spans="1:15" x14ac:dyDescent="0.25">
      <c r="A6" s="2" t="s">
        <v>22</v>
      </c>
      <c r="B6" s="2" t="s">
        <v>23</v>
      </c>
      <c r="C6" s="2" t="s">
        <v>8</v>
      </c>
      <c r="D6" s="2" t="s">
        <v>24</v>
      </c>
      <c r="E6" s="2">
        <v>12</v>
      </c>
      <c r="F6" s="2">
        <v>48000</v>
      </c>
      <c r="G6">
        <f t="shared" si="0"/>
        <v>576000</v>
      </c>
    </row>
    <row r="7" spans="1:15" x14ac:dyDescent="0.25">
      <c r="A7" s="2" t="s">
        <v>25</v>
      </c>
      <c r="B7" s="2" t="s">
        <v>26</v>
      </c>
      <c r="C7" s="2" t="s">
        <v>16</v>
      </c>
      <c r="D7" s="2" t="s">
        <v>13</v>
      </c>
      <c r="E7" s="2">
        <v>18</v>
      </c>
      <c r="F7" s="2">
        <v>54000</v>
      </c>
      <c r="G7">
        <f t="shared" si="0"/>
        <v>972000</v>
      </c>
    </row>
    <row r="8" spans="1:15" x14ac:dyDescent="0.25">
      <c r="A8" s="2" t="s">
        <v>27</v>
      </c>
      <c r="B8" s="2" t="s">
        <v>28</v>
      </c>
      <c r="C8" s="2" t="s">
        <v>12</v>
      </c>
      <c r="D8" s="2" t="s">
        <v>17</v>
      </c>
      <c r="E8" s="2">
        <v>22</v>
      </c>
      <c r="F8" s="2">
        <v>77000</v>
      </c>
      <c r="G8">
        <f t="shared" si="0"/>
        <v>1694000</v>
      </c>
    </row>
    <row r="9" spans="1:15" x14ac:dyDescent="0.25">
      <c r="A9" s="2" t="s">
        <v>29</v>
      </c>
      <c r="B9" s="2" t="s">
        <v>30</v>
      </c>
      <c r="C9" s="2" t="s">
        <v>20</v>
      </c>
      <c r="D9" s="2" t="s">
        <v>9</v>
      </c>
      <c r="E9" s="2">
        <v>30</v>
      </c>
      <c r="F9" s="2">
        <v>90000</v>
      </c>
      <c r="G9">
        <f t="shared" si="0"/>
        <v>2700000</v>
      </c>
    </row>
    <row r="10" spans="1:15" x14ac:dyDescent="0.25">
      <c r="A10" s="2" t="s">
        <v>31</v>
      </c>
      <c r="B10" s="2" t="s">
        <v>32</v>
      </c>
      <c r="C10" s="2" t="s">
        <v>8</v>
      </c>
      <c r="D10" s="2" t="s">
        <v>21</v>
      </c>
      <c r="E10" s="2">
        <v>14</v>
      </c>
      <c r="F10" s="2">
        <v>70000</v>
      </c>
      <c r="G10">
        <f t="shared" si="0"/>
        <v>980000</v>
      </c>
    </row>
    <row r="11" spans="1:15" x14ac:dyDescent="0.25">
      <c r="A11" s="2" t="s">
        <v>33</v>
      </c>
      <c r="B11" s="2" t="s">
        <v>34</v>
      </c>
      <c r="C11" s="2" t="s">
        <v>16</v>
      </c>
      <c r="D11" s="2" t="s">
        <v>24</v>
      </c>
      <c r="E11" s="2">
        <v>8</v>
      </c>
      <c r="F11" s="2">
        <v>32000</v>
      </c>
      <c r="G11">
        <f t="shared" si="0"/>
        <v>256000</v>
      </c>
    </row>
    <row r="12" spans="1:15" ht="15.75" customHeight="1" x14ac:dyDescent="0.25">
      <c r="E12">
        <f>SUM(E2:E11)</f>
        <v>174</v>
      </c>
      <c r="F12">
        <f>SUM(F2:F11)</f>
        <v>636000</v>
      </c>
      <c r="G12">
        <f>SUM(G2:G11)</f>
        <v>12528000</v>
      </c>
    </row>
    <row r="15" spans="1:15" ht="33" customHeight="1" x14ac:dyDescent="0.25">
      <c r="A15" s="3" t="s">
        <v>2</v>
      </c>
      <c r="B15" s="3" t="s">
        <v>48</v>
      </c>
      <c r="D15" s="8" t="s">
        <v>49</v>
      </c>
      <c r="E15" s="7" t="s">
        <v>50</v>
      </c>
    </row>
    <row r="16" spans="1:15" ht="15.75" customHeight="1" x14ac:dyDescent="0.25">
      <c r="A16" s="4" t="s">
        <v>16</v>
      </c>
      <c r="B16" s="4">
        <f>VLOOKUP(A16,I2:J6,2,FALSE)</f>
        <v>121000</v>
      </c>
      <c r="D16">
        <f>1000000-B16</f>
        <v>879000</v>
      </c>
    </row>
  </sheetData>
  <conditionalFormatting sqref="B16">
    <cfRule type="cellIs" dxfId="0" priority="1" operator="lessThan">
      <formula>1000000</formula>
    </cfRule>
  </conditionalFormatting>
  <dataValidations count="1">
    <dataValidation type="list" allowBlank="1" showInputMessage="1" showErrorMessage="1" sqref="A16" xr:uid="{55006711-B1A8-422B-8463-2B7844385340}">
      <formula1>$I$2:$I$5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6"/>
  <sheetViews>
    <sheetView workbookViewId="0">
      <selection activeCell="H12" sqref="H12"/>
    </sheetView>
  </sheetViews>
  <sheetFormatPr defaultColWidth="12.6640625" defaultRowHeight="15.75" customHeight="1" x14ac:dyDescent="0.25"/>
  <cols>
    <col min="1" max="1" width="10.33203125" bestFit="1" customWidth="1"/>
    <col min="2" max="2" width="13.5546875" bestFit="1" customWidth="1"/>
    <col min="3" max="3" width="13.44140625" bestFit="1" customWidth="1"/>
    <col min="4" max="4" width="13.109375" bestFit="1" customWidth="1"/>
    <col min="6" max="6" width="13.5546875" customWidth="1"/>
  </cols>
  <sheetData>
    <row r="1" spans="1:10" x14ac:dyDescent="0.25">
      <c r="A1" s="1" t="s">
        <v>3</v>
      </c>
      <c r="B1" s="1" t="s">
        <v>35</v>
      </c>
      <c r="C1" s="1" t="s">
        <v>36</v>
      </c>
      <c r="D1" s="1" t="s">
        <v>37</v>
      </c>
      <c r="F1" s="1" t="s">
        <v>35</v>
      </c>
      <c r="G1" s="1" t="s">
        <v>37</v>
      </c>
      <c r="I1" s="1" t="s">
        <v>35</v>
      </c>
      <c r="J1" s="1" t="s">
        <v>37</v>
      </c>
    </row>
    <row r="2" spans="1:10" x14ac:dyDescent="0.25">
      <c r="A2" s="2" t="s">
        <v>9</v>
      </c>
      <c r="B2" s="2" t="s">
        <v>38</v>
      </c>
      <c r="C2" s="2" t="s">
        <v>39</v>
      </c>
      <c r="D2" s="2">
        <v>3000</v>
      </c>
      <c r="F2" t="str">
        <f>VLOOKUP(A2,$A$1:$D$6,2,FALSE)</f>
        <v>Laptop</v>
      </c>
      <c r="G2">
        <f>VLOOKUP(A2,$A$2:$D$6,4,FALSE)</f>
        <v>3000</v>
      </c>
      <c r="I2" t="str" cm="1">
        <f t="array" ref="I2:J2">VLOOKUP(A2,$A$2:$D$6,{2,3},FALSE)</f>
        <v>Laptop</v>
      </c>
      <c r="J2" t="str">
        <v>Electronics</v>
      </c>
    </row>
    <row r="3" spans="1:10" x14ac:dyDescent="0.25">
      <c r="A3" s="2" t="s">
        <v>13</v>
      </c>
      <c r="B3" s="2" t="s">
        <v>40</v>
      </c>
      <c r="C3" s="2" t="s">
        <v>39</v>
      </c>
      <c r="D3" s="2">
        <v>3000</v>
      </c>
      <c r="F3" t="str">
        <f t="shared" ref="F3:F6" si="0">VLOOKUP(A3,$A$1:$D$6,2,FALSE)</f>
        <v>Smartphone</v>
      </c>
      <c r="G3">
        <f t="shared" ref="G3:G6" si="1">VLOOKUP(A3,$A$2:$D$6,4,FALSE)</f>
        <v>3000</v>
      </c>
      <c r="I3" t="str" cm="1">
        <f t="array" ref="I3:J3">VLOOKUP(A3,$A$2:$D$6,{2,3},FALSE)</f>
        <v>Smartphone</v>
      </c>
      <c r="J3" t="str">
        <v>Electronics</v>
      </c>
    </row>
    <row r="4" spans="1:10" x14ac:dyDescent="0.25">
      <c r="A4" s="2" t="s">
        <v>17</v>
      </c>
      <c r="B4" s="2" t="s">
        <v>41</v>
      </c>
      <c r="C4" s="2" t="s">
        <v>42</v>
      </c>
      <c r="D4" s="2">
        <v>3500</v>
      </c>
      <c r="F4" t="str">
        <f t="shared" si="0"/>
        <v>Headphones</v>
      </c>
      <c r="G4">
        <f t="shared" si="1"/>
        <v>3500</v>
      </c>
      <c r="I4" t="str" cm="1">
        <f t="array" ref="I4:J4">VLOOKUP(A4,$A$2:$D$6,{2,3},FALSE)</f>
        <v>Headphones</v>
      </c>
      <c r="J4" t="str">
        <v>Accessories</v>
      </c>
    </row>
    <row r="5" spans="1:10" x14ac:dyDescent="0.25">
      <c r="A5" s="2" t="s">
        <v>21</v>
      </c>
      <c r="B5" s="2" t="s">
        <v>43</v>
      </c>
      <c r="C5" s="2" t="s">
        <v>44</v>
      </c>
      <c r="D5" s="2">
        <v>5000</v>
      </c>
      <c r="F5" t="str">
        <f t="shared" si="0"/>
        <v>Printer</v>
      </c>
      <c r="G5">
        <f t="shared" si="1"/>
        <v>5000</v>
      </c>
      <c r="I5" t="str" cm="1">
        <f t="array" ref="I5:J5">VLOOKUP(A5,$A$2:$D$6,{2,3},FALSE)</f>
        <v>Printer</v>
      </c>
      <c r="J5" t="str">
        <v>Office Supplies</v>
      </c>
    </row>
    <row r="6" spans="1:10" x14ac:dyDescent="0.25">
      <c r="A6" s="2" t="s">
        <v>24</v>
      </c>
      <c r="B6" s="2" t="s">
        <v>45</v>
      </c>
      <c r="C6" s="2" t="s">
        <v>39</v>
      </c>
      <c r="D6" s="2">
        <v>4000</v>
      </c>
      <c r="F6" t="str">
        <f t="shared" si="0"/>
        <v>Monitor</v>
      </c>
      <c r="G6">
        <f t="shared" si="1"/>
        <v>4000</v>
      </c>
      <c r="I6" t="str" cm="1">
        <f t="array" ref="I6:J6">VLOOKUP(A6,$A$2:$D$6,{2,3},FALSE)</f>
        <v>Monitor</v>
      </c>
      <c r="J6" t="str">
        <v>Electronics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"/>
  <sheetViews>
    <sheetView workbookViewId="0">
      <selection activeCell="A8" sqref="A8"/>
    </sheetView>
  </sheetViews>
  <sheetFormatPr defaultColWidth="12.6640625" defaultRowHeight="15.75" customHeight="1" x14ac:dyDescent="0.25"/>
  <cols>
    <col min="3" max="3" width="22" customWidth="1"/>
  </cols>
  <sheetData>
    <row r="1" spans="1:5" x14ac:dyDescent="0.25">
      <c r="A1" s="1" t="s">
        <v>2</v>
      </c>
      <c r="B1" s="1" t="s">
        <v>8</v>
      </c>
      <c r="C1" s="1" t="s">
        <v>12</v>
      </c>
      <c r="D1" s="1" t="s">
        <v>16</v>
      </c>
      <c r="E1" s="1" t="s">
        <v>20</v>
      </c>
    </row>
    <row r="2" spans="1:5" x14ac:dyDescent="0.25">
      <c r="A2" s="2" t="s">
        <v>46</v>
      </c>
      <c r="B2" s="2">
        <v>150000</v>
      </c>
      <c r="C2" s="2">
        <v>140000</v>
      </c>
      <c r="D2" s="2">
        <v>120000</v>
      </c>
      <c r="E2" s="2">
        <v>160000</v>
      </c>
    </row>
    <row r="6" spans="1:5" ht="15.75" customHeight="1" x14ac:dyDescent="0.25">
      <c r="A6" s="1" t="s">
        <v>2</v>
      </c>
      <c r="B6" s="1" t="s">
        <v>8</v>
      </c>
      <c r="C6" s="1" t="s">
        <v>12</v>
      </c>
      <c r="D6" s="1" t="s">
        <v>16</v>
      </c>
      <c r="E6" s="1" t="s">
        <v>20</v>
      </c>
    </row>
    <row r="7" spans="1:5" ht="15.75" customHeight="1" x14ac:dyDescent="0.25">
      <c r="A7" t="str" cm="1">
        <f t="array" ref="A7:E7">HLOOKUP(A6:E6,A1:E2,2,FALSE)</f>
        <v>Target Sales</v>
      </c>
      <c r="B7">
        <v>150000</v>
      </c>
      <c r="C7">
        <v>140000</v>
      </c>
      <c r="D7">
        <v>120000</v>
      </c>
      <c r="E7">
        <v>160000</v>
      </c>
    </row>
    <row r="10" spans="1:5" ht="25.8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Sales_Data</vt:lpstr>
      <vt:lpstr>Product_Master</vt:lpstr>
      <vt:lpstr>Monthly Target</vt:lpstr>
      <vt:lpstr>Sales_Data!Extract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Javed Sheikh</cp:lastModifiedBy>
  <dcterms:modified xsi:type="dcterms:W3CDTF">2025-11-01T08:12:21Z</dcterms:modified>
</cp:coreProperties>
</file>